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FakeDiamond\stimuli\"/>
    </mc:Choice>
  </mc:AlternateContent>
  <bookViews>
    <workbookView xWindow="0" yWindow="0" windowWidth="20505" windowHeight="100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1" l="1"/>
  <c r="D49" i="1" s="1"/>
  <c r="D47" i="1"/>
  <c r="D46" i="1"/>
  <c r="D43" i="1"/>
  <c r="D42" i="1"/>
  <c r="D41" i="1"/>
  <c r="C47" i="1"/>
  <c r="C48" i="1"/>
  <c r="C49" i="1" s="1"/>
  <c r="C46" i="1"/>
  <c r="C42" i="1"/>
  <c r="C43" i="1" s="1"/>
  <c r="C41" i="1"/>
  <c r="C37" i="1"/>
  <c r="C36" i="1"/>
  <c r="C35" i="1"/>
  <c r="C34" i="1"/>
  <c r="C30" i="1"/>
  <c r="C29" i="1"/>
  <c r="C21" i="1"/>
  <c r="C20" i="1"/>
  <c r="C12" i="1"/>
  <c r="F11" i="1"/>
  <c r="F12" i="1" s="1"/>
  <c r="F10" i="1"/>
  <c r="C10" i="1"/>
</calcChain>
</file>

<file path=xl/sharedStrings.xml><?xml version="1.0" encoding="utf-8"?>
<sst xmlns="http://schemas.openxmlformats.org/spreadsheetml/2006/main" count="40" uniqueCount="28">
  <si>
    <t>+</t>
  </si>
  <si>
    <t>w1</t>
  </si>
  <si>
    <t>w2</t>
  </si>
  <si>
    <t>time</t>
  </si>
  <si>
    <t>display</t>
  </si>
  <si>
    <t>without task</t>
  </si>
  <si>
    <t>with task</t>
  </si>
  <si>
    <t>time(s)</t>
  </si>
  <si>
    <t>total trials</t>
  </si>
  <si>
    <t>trials</t>
  </si>
  <si>
    <t>subtotal time (mins)</t>
  </si>
  <si>
    <t>total time(mins)</t>
  </si>
  <si>
    <t>total time(hrs)</t>
  </si>
  <si>
    <t>current trials</t>
  </si>
  <si>
    <t>current time (min)</t>
  </si>
  <si>
    <t>current time (sec)</t>
  </si>
  <si>
    <t>second per trial</t>
  </si>
  <si>
    <t>new total time (sec)</t>
  </si>
  <si>
    <t>add pause btw trial</t>
  </si>
  <si>
    <t>new second per trial</t>
  </si>
  <si>
    <t>new total time (min)</t>
  </si>
  <si>
    <t>new total time (hrs)</t>
  </si>
  <si>
    <t>reduce to 100trial/cond</t>
  </si>
  <si>
    <t>number of trials</t>
  </si>
  <si>
    <t>remove 0.3s post word 2 onset</t>
  </si>
  <si>
    <t>predicted</t>
  </si>
  <si>
    <t>actual</t>
  </si>
  <si>
    <t>Decision: not remove this, because that is important for the activity to propagate and to keep that constant across word 1 and word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</si>
</sst>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0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topLeftCell="A28" workbookViewId="0">
      <selection activeCell="D37" sqref="D37"/>
    </sheetView>
  </sheetViews>
  <sheetFormatPr defaultRowHeight="15" x14ac:dyDescent="0.25"/>
  <sheetData>
    <row r="2" spans="1:6" x14ac:dyDescent="0.25">
      <c r="B2" s="1" t="s">
        <v>5</v>
      </c>
      <c r="C2" s="2"/>
      <c r="E2" s="1" t="s">
        <v>6</v>
      </c>
      <c r="F2" s="2"/>
    </row>
    <row r="3" spans="1:6" x14ac:dyDescent="0.25">
      <c r="B3" s="3" t="s">
        <v>4</v>
      </c>
      <c r="C3" s="4" t="s">
        <v>7</v>
      </c>
      <c r="E3" s="3" t="s">
        <v>4</v>
      </c>
      <c r="F3" s="4" t="s">
        <v>7</v>
      </c>
    </row>
    <row r="4" spans="1:6" x14ac:dyDescent="0.25">
      <c r="B4" s="3" t="s">
        <v>0</v>
      </c>
      <c r="C4" s="4">
        <v>0.3</v>
      </c>
      <c r="E4" s="3" t="s">
        <v>0</v>
      </c>
      <c r="F4" s="4">
        <v>0.3</v>
      </c>
    </row>
    <row r="5" spans="1:6" x14ac:dyDescent="0.25">
      <c r="B5" s="3"/>
      <c r="C5" s="4">
        <v>0.3</v>
      </c>
      <c r="E5" s="3"/>
      <c r="F5" s="4">
        <v>0.3</v>
      </c>
    </row>
    <row r="6" spans="1:6" x14ac:dyDescent="0.25">
      <c r="B6" s="3" t="s">
        <v>1</v>
      </c>
      <c r="C6" s="4">
        <v>0.3</v>
      </c>
      <c r="E6" s="3" t="s">
        <v>1</v>
      </c>
      <c r="F6" s="4">
        <v>0.3</v>
      </c>
    </row>
    <row r="7" spans="1:6" x14ac:dyDescent="0.25">
      <c r="B7" s="3"/>
      <c r="C7" s="4">
        <v>0.3</v>
      </c>
      <c r="E7" s="3"/>
      <c r="F7" s="4">
        <v>0.3</v>
      </c>
    </row>
    <row r="8" spans="1:6" x14ac:dyDescent="0.25">
      <c r="B8" s="3" t="s">
        <v>2</v>
      </c>
      <c r="C8" s="4">
        <v>0.3</v>
      </c>
      <c r="E8" s="3" t="s">
        <v>2</v>
      </c>
      <c r="F8" s="4">
        <v>0.3</v>
      </c>
    </row>
    <row r="9" spans="1:6" x14ac:dyDescent="0.25">
      <c r="B9" s="5"/>
      <c r="C9" s="6">
        <v>2.5</v>
      </c>
      <c r="E9" s="5"/>
      <c r="F9" s="6">
        <v>3.5</v>
      </c>
    </row>
    <row r="10" spans="1:6" x14ac:dyDescent="0.25">
      <c r="A10" t="s">
        <v>3</v>
      </c>
      <c r="C10">
        <f>SUM(C4:C9)</f>
        <v>4</v>
      </c>
      <c r="F10">
        <f>SUM(F4:F9)</f>
        <v>5</v>
      </c>
    </row>
    <row r="11" spans="1:6" x14ac:dyDescent="0.25">
      <c r="A11" t="s">
        <v>9</v>
      </c>
      <c r="C11">
        <v>1064</v>
      </c>
      <c r="F11">
        <f>C19-C11</f>
        <v>118</v>
      </c>
    </row>
    <row r="12" spans="1:6" x14ac:dyDescent="0.25">
      <c r="A12" t="s">
        <v>10</v>
      </c>
      <c r="C12">
        <f>C11*C10/60</f>
        <v>70.933333333333337</v>
      </c>
      <c r="F12">
        <f>F11*F10/60</f>
        <v>9.8333333333333339</v>
      </c>
    </row>
    <row r="19" spans="1:4" x14ac:dyDescent="0.25">
      <c r="A19" t="s">
        <v>8</v>
      </c>
      <c r="C19">
        <v>1182</v>
      </c>
    </row>
    <row r="20" spans="1:4" x14ac:dyDescent="0.25">
      <c r="A20" t="s">
        <v>11</v>
      </c>
      <c r="C20">
        <f>C12+F12</f>
        <v>80.766666666666666</v>
      </c>
    </row>
    <row r="21" spans="1:4" x14ac:dyDescent="0.25">
      <c r="A21" t="s">
        <v>12</v>
      </c>
      <c r="C21">
        <f>C20/60</f>
        <v>1.346111111111111</v>
      </c>
    </row>
    <row r="27" spans="1:4" x14ac:dyDescent="0.25">
      <c r="A27" t="s">
        <v>13</v>
      </c>
      <c r="C27">
        <v>1182</v>
      </c>
    </row>
    <row r="28" spans="1:4" x14ac:dyDescent="0.25">
      <c r="A28" t="s">
        <v>14</v>
      </c>
      <c r="C28">
        <v>48</v>
      </c>
    </row>
    <row r="29" spans="1:4" x14ac:dyDescent="0.25">
      <c r="A29" t="s">
        <v>15</v>
      </c>
      <c r="C29">
        <f>C28*60</f>
        <v>2880</v>
      </c>
    </row>
    <row r="30" spans="1:4" x14ac:dyDescent="0.25">
      <c r="A30" t="s">
        <v>16</v>
      </c>
      <c r="C30">
        <f>C29/C27</f>
        <v>2.436548223350254</v>
      </c>
    </row>
    <row r="32" spans="1:4" x14ac:dyDescent="0.25">
      <c r="C32" t="s">
        <v>25</v>
      </c>
      <c r="D32" t="s">
        <v>26</v>
      </c>
    </row>
    <row r="33" spans="1:5" x14ac:dyDescent="0.25">
      <c r="A33" t="s">
        <v>18</v>
      </c>
      <c r="C33">
        <v>2.5</v>
      </c>
    </row>
    <row r="34" spans="1:5" x14ac:dyDescent="0.25">
      <c r="A34" t="s">
        <v>19</v>
      </c>
      <c r="C34">
        <f>C33+C30</f>
        <v>4.936548223350254</v>
      </c>
      <c r="D34">
        <v>4.42</v>
      </c>
    </row>
    <row r="35" spans="1:5" x14ac:dyDescent="0.25">
      <c r="A35" t="s">
        <v>17</v>
      </c>
      <c r="C35">
        <f>C34*C27</f>
        <v>5835</v>
      </c>
      <c r="D35">
        <v>5220</v>
      </c>
    </row>
    <row r="36" spans="1:5" x14ac:dyDescent="0.25">
      <c r="A36" t="s">
        <v>20</v>
      </c>
      <c r="C36">
        <f>C35/60</f>
        <v>97.25</v>
      </c>
      <c r="D36">
        <v>87</v>
      </c>
    </row>
    <row r="37" spans="1:5" x14ac:dyDescent="0.25">
      <c r="A37" t="s">
        <v>21</v>
      </c>
      <c r="C37">
        <f>C36/60</f>
        <v>1.6208333333333333</v>
      </c>
      <c r="D37">
        <v>1.45</v>
      </c>
    </row>
    <row r="39" spans="1:5" x14ac:dyDescent="0.25">
      <c r="A39" t="s">
        <v>22</v>
      </c>
    </row>
    <row r="40" spans="1:5" x14ac:dyDescent="0.25">
      <c r="A40" t="s">
        <v>23</v>
      </c>
      <c r="C40">
        <v>900</v>
      </c>
    </row>
    <row r="41" spans="1:5" x14ac:dyDescent="0.25">
      <c r="A41" t="s">
        <v>17</v>
      </c>
      <c r="C41">
        <f>C40*C34</f>
        <v>4442.8934010152288</v>
      </c>
      <c r="D41">
        <f>D34*C40</f>
        <v>3978</v>
      </c>
    </row>
    <row r="42" spans="1:5" x14ac:dyDescent="0.25">
      <c r="A42" t="s">
        <v>20</v>
      </c>
      <c r="C42">
        <f>C41/60</f>
        <v>74.048223350253821</v>
      </c>
      <c r="D42">
        <f>D41/60</f>
        <v>66.3</v>
      </c>
    </row>
    <row r="43" spans="1:5" x14ac:dyDescent="0.25">
      <c r="A43" t="s">
        <v>21</v>
      </c>
      <c r="C43">
        <f>C42/60</f>
        <v>1.2341370558375637</v>
      </c>
      <c r="D43">
        <f>D42/60</f>
        <v>1.105</v>
      </c>
    </row>
    <row r="45" spans="1:5" x14ac:dyDescent="0.25">
      <c r="A45" s="7" t="s">
        <v>24</v>
      </c>
      <c r="B45" s="8"/>
      <c r="C45" s="8"/>
      <c r="D45" s="9"/>
      <c r="E45" s="12" t="s">
        <v>27</v>
      </c>
    </row>
    <row r="46" spans="1:5" x14ac:dyDescent="0.25">
      <c r="A46" s="3" t="s">
        <v>19</v>
      </c>
      <c r="B46" s="10"/>
      <c r="C46" s="10">
        <f>C34-0.3</f>
        <v>4.6365482233502542</v>
      </c>
      <c r="D46" s="4">
        <f>D34-0.3</f>
        <v>4.12</v>
      </c>
    </row>
    <row r="47" spans="1:5" x14ac:dyDescent="0.25">
      <c r="A47" s="3" t="s">
        <v>17</v>
      </c>
      <c r="B47" s="10"/>
      <c r="C47" s="10">
        <f>C46*C40</f>
        <v>4172.8934010152288</v>
      </c>
      <c r="D47" s="4">
        <f>D46*C40</f>
        <v>3708</v>
      </c>
    </row>
    <row r="48" spans="1:5" x14ac:dyDescent="0.25">
      <c r="A48" s="3" t="s">
        <v>20</v>
      </c>
      <c r="B48" s="10"/>
      <c r="C48" s="10">
        <f>C47/60</f>
        <v>69.548223350253821</v>
      </c>
      <c r="D48" s="4">
        <f>D47/60</f>
        <v>61.8</v>
      </c>
    </row>
    <row r="49" spans="1:4" x14ac:dyDescent="0.25">
      <c r="A49" s="5" t="s">
        <v>21</v>
      </c>
      <c r="B49" s="11"/>
      <c r="C49" s="11">
        <f>C48/60</f>
        <v>1.1591370558375638</v>
      </c>
      <c r="D49" s="6">
        <f>D48/60</f>
        <v>1.03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2023-06-29T15:40:25Z</dcterms:created>
  <dcterms:modified xsi:type="dcterms:W3CDTF">2023-06-30T17:04:47Z</dcterms:modified>
</cp:coreProperties>
</file>